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Cost\Protein_cost\"/>
    </mc:Choice>
  </mc:AlternateContent>
  <bookViews>
    <workbookView xWindow="0" yWindow="0" windowWidth="31365" windowHeight="12645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27" i="1" l="1"/>
  <c r="F26" i="1"/>
  <c r="F25" i="1"/>
  <c r="F24" i="1"/>
  <c r="F23" i="1"/>
  <c r="F22" i="1"/>
  <c r="F21" i="1"/>
  <c r="F20" i="1"/>
  <c r="F19" i="1"/>
  <c r="F18" i="1"/>
  <c r="F17" i="1"/>
  <c r="F13" i="1" l="1"/>
  <c r="F9" i="1"/>
  <c r="F12" i="1" l="1"/>
  <c r="F8" i="1" l="1"/>
  <c r="F5" i="1"/>
  <c r="F11" i="1"/>
  <c r="F10" i="1"/>
  <c r="F6" i="1"/>
  <c r="F7" i="1"/>
  <c r="F4" i="1"/>
</calcChain>
</file>

<file path=xl/sharedStrings.xml><?xml version="1.0" encoding="utf-8"?>
<sst xmlns="http://schemas.openxmlformats.org/spreadsheetml/2006/main" count="54" uniqueCount="46">
  <si>
    <t>AAs</t>
    <phoneticPr fontId="1" type="noConversion"/>
  </si>
  <si>
    <t>Δs</t>
    <phoneticPr fontId="1" type="noConversion"/>
  </si>
  <si>
    <t>ala</t>
    <phoneticPr fontId="1" type="noConversion"/>
  </si>
  <si>
    <t>arg</t>
    <phoneticPr fontId="1" type="noConversion"/>
  </si>
  <si>
    <t>asn</t>
    <phoneticPr fontId="1" type="noConversion"/>
  </si>
  <si>
    <t>asp</t>
    <phoneticPr fontId="1" type="noConversion"/>
  </si>
  <si>
    <t>cys</t>
    <phoneticPr fontId="1" type="noConversion"/>
  </si>
  <si>
    <t>gln</t>
    <phoneticPr fontId="1" type="noConversion"/>
  </si>
  <si>
    <t>gly</t>
    <phoneticPr fontId="1" type="noConversion"/>
  </si>
  <si>
    <t>pro</t>
    <phoneticPr fontId="1" type="noConversion"/>
  </si>
  <si>
    <t>ser</t>
    <phoneticPr fontId="1" type="noConversion"/>
  </si>
  <si>
    <t>tyr</t>
    <phoneticPr fontId="1" type="noConversion"/>
  </si>
  <si>
    <t>mean</t>
    <phoneticPr fontId="1" type="noConversion"/>
  </si>
  <si>
    <t>glu</t>
    <phoneticPr fontId="1" type="noConversion"/>
  </si>
  <si>
    <t xml:space="preserve">sources </t>
    <phoneticPr fontId="1" type="noConversion"/>
  </si>
  <si>
    <t>2 Proton[m] + Nicotinamide Adenine Dinucleotide - Reduced[m] + 1-Pyrroline-5-Carboxylate[m] + 0.10552 prot_pool[c] =&gt; Nicotinamide Adenine Dinucleotide[m] + L-Proline[m]</t>
  </si>
  <si>
    <t>Oxygen[c] + 5,6,7,8-Tetrahydrobiopterin[c] + L-Phenylalanine[c] + 0.39622 prot_pool[c] =&gt; Water[c] + 6,7-Dihydrobiopterin[c] + L-Tyrosine[c]</t>
  </si>
  <si>
    <t>Δs</t>
    <phoneticPr fontId="1" type="noConversion"/>
  </si>
  <si>
    <t xml:space="preserve">sources </t>
    <phoneticPr fontId="1" type="noConversion"/>
  </si>
  <si>
    <t>L-Arginosuccinic Acid[c] + 2.7434 prot_pool[c] =&gt; Fumarate[c] + L-Arginine[c]</t>
    <phoneticPr fontId="1" type="noConversion"/>
  </si>
  <si>
    <t>gln</t>
    <phoneticPr fontId="1" type="noConversion"/>
  </si>
  <si>
    <t>ser</t>
    <phoneticPr fontId="1" type="noConversion"/>
  </si>
  <si>
    <t>asn</t>
    <phoneticPr fontId="1" type="noConversion"/>
  </si>
  <si>
    <t>glu</t>
    <phoneticPr fontId="1" type="noConversion"/>
  </si>
  <si>
    <t>asp</t>
    <phoneticPr fontId="1" type="noConversion"/>
  </si>
  <si>
    <t>Pyruvate[c] + L-Serine[c] + 0.1253 prot_pool[c] =&gt; L-Alanine[c] + 3-Hydroxypyruvate[c]</t>
    <phoneticPr fontId="1" type="noConversion"/>
  </si>
  <si>
    <t>Ammonium[c] + Adenosine Triphosphate[c] + L-Glutamate[c] + 0.89155 prot_pool[c] =&gt; Proton[c] + Adenosine Diphosphate[c] + Orthophosphate[c] + L-Glutamine[c]</t>
  </si>
  <si>
    <r>
      <t xml:space="preserve">biomass_lb = 0.7*20.1431
</t>
    </r>
    <r>
      <rPr>
        <b/>
        <sz val="10"/>
        <color theme="1"/>
        <rFont val="宋体"/>
        <family val="3"/>
        <charset val="134"/>
      </rPr>
      <t/>
    </r>
    <phoneticPr fontId="1" type="noConversion"/>
  </si>
  <si>
    <t>Water[c] + Adenosine Triphosphate[c] + L-Aspartate[c] + L-Glutamine[c] + 3.2992 prot_pool[c] =&gt; Proton[c] + L-Glutamate[c] + Adenosine Monophosphate[c] + Diphosphate[c] + L-Asparagine[c]</t>
    <phoneticPr fontId="1" type="noConversion"/>
  </si>
  <si>
    <t>Proton[m] + Nicotinamide Adenine Dinucleotide Phosphate - Reduced[m] + 2-Oxoglutarate[m] + Ammonium[m] + 0.0050916 prot_pool[c] =&gt; Water[m] + Nicotinamide Adenine Dinucleotide Phosphate[m] + L-Glutamate[m]</t>
    <phoneticPr fontId="1" type="noConversion"/>
  </si>
  <si>
    <t xml:space="preserve">5,6,7,8-Tetrahydrofolate[m] + L-Serine[m] + 2.5539 prot_pool[c] =&gt; Water[m] + Glycine[m] + 5,10-Methylenetetrahydrofolate[m] </t>
    <phoneticPr fontId="1" type="noConversion"/>
  </si>
  <si>
    <t>Water[c] + O-Phospho-L-Serine[c] + 18.8446 prot_pool[c] =&gt; Orthophosphate[c] + L-Serine[c]</t>
    <phoneticPr fontId="1" type="noConversion"/>
  </si>
  <si>
    <t>Water[c] + L-Cystathionine[c] + 0.94433 prot_pool[c] =&gt; Ammonium[c] + 2-Oxobutanoate[c] + L-Cysteine[c]</t>
    <phoneticPr fontId="1" type="noConversion"/>
  </si>
  <si>
    <t>L-Arginosuccinic Acid[c] + 2.7434 prot_pool[c] =&gt; Fumarate[c] + L-Arginine[c]-9050</t>
    <phoneticPr fontId="1" type="noConversion"/>
  </si>
  <si>
    <t>Ammonium[c] + Adenosine Triphosphate[c] + L-Glutamate[c] + 0.89155 prot_pool[c] =&gt; Proton[c] + Adenosine Diphosphate[c] + Orthophosphate[c] + L-Glutamine[c]-8900</t>
    <phoneticPr fontId="1" type="noConversion"/>
  </si>
  <si>
    <t>Water[c] + O-Phospho-L-Serine[c] + 18.8446 prot_pool[c] =&gt; Orthophosphate[c] + L-Serine[c]-8960</t>
    <phoneticPr fontId="1" type="noConversion"/>
  </si>
  <si>
    <t>Water[c] + Adenosine Triphosphate[c] + L-Aspartate[c] + L-Glutamine[c] + 3.2992 prot_pool[c] =&gt; Proton[c] + L-Glutamate[c] + Adenosine Monophosphate[c] + Diphosphate[c] + L-Asparagine[c]-456</t>
    <phoneticPr fontId="1" type="noConversion"/>
  </si>
  <si>
    <t>2 Proton[m] + Nicotinamide Adenine Dinucleotide - Reduced[m] + 1-Pyrroline-5-Carboxylate[m] + 0.10552 prot_pool[c] =&gt; Nicotinamide Adenine Dinucleotide[m] + L-Proline[m]-2617</t>
    <phoneticPr fontId="1" type="noConversion"/>
  </si>
  <si>
    <t>Oxygen[c] + 5,6,7,8-Tetrahydrobiopterin[c] + L-Phenylalanine[c] + 0.39622 prot_pool[c] =&gt; Water[c] + 6,7-Dihydrobiopterin[c] + L-Tyrosine[c]-2689</t>
    <phoneticPr fontId="1" type="noConversion"/>
  </si>
  <si>
    <t>Proton[m] + Nicotinamide Adenine Dinucleotide Phosphate - Reduced[m] + 2-Oxoglutarate[m] + Ammonium[m] + 0.0050916 prot_pool[c] =&gt; Water[m] + Nicotinamide Adenine Dinucleotide Phosphate[m] + L-Glutamate[m]-14448</t>
    <phoneticPr fontId="1" type="noConversion"/>
  </si>
  <si>
    <t>5,6,7,8-Tetrahydrofolate[m] + L-Serine[m] + 2.5539 prot_pool[c] =&gt; Water[m] + Glycine[m] + 5,10-Methylenetetrahydrofolate[m]-1810</t>
    <phoneticPr fontId="1" type="noConversion"/>
  </si>
  <si>
    <t>Water[c] + L-Cystathionine[c] + 0.94433 prot_pool[c] =&gt; Ammonium[c] + 2-Oxobutanoate[c] + L-Cysteine[c]-8815</t>
    <phoneticPr fontId="1" type="noConversion"/>
  </si>
  <si>
    <t>L-Glutamate[c] + Oxaloacetate[c] + 0.014451 prot_pool[c] =&gt; 2-Oxoglutarate[c] + L-Aspartate[c]</t>
    <phoneticPr fontId="1" type="noConversion"/>
  </si>
  <si>
    <t>L-Glutamate[c] + Oxaloacetate[c] + 0.014451 prot_pool[c] =&gt; 2-Oxoglutarate[c] + L-Aspartate[c]-18223</t>
    <phoneticPr fontId="1" type="noConversion"/>
  </si>
  <si>
    <t>Pyruvate[c] + L-Glutamate[c] + 0.061977 prot_pool[c] =&gt; 2-Oxoglutarate[c] + L-Alanine[c]-13664</t>
    <phoneticPr fontId="1" type="noConversion"/>
  </si>
  <si>
    <t>biomass_lb = 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</si>
</sst>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8"/>
      <color theme="1"/>
      <name val="Calibri"/>
      <family val="2"/>
    </font>
    <font>
      <sz val="8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1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7"/>
  <sheetViews>
    <sheetView tabSelected="1" zoomScale="145" zoomScaleNormal="145" workbookViewId="0">
      <selection activeCell="A14" sqref="A14"/>
    </sheetView>
  </sheetViews>
  <sheetFormatPr defaultRowHeight="15" x14ac:dyDescent="0.2"/>
  <cols>
    <col min="1" max="1" width="9.625" style="3" customWidth="1"/>
    <col min="2" max="5" width="9" style="2"/>
    <col min="6" max="6" width="11.875" style="2" bestFit="1" customWidth="1"/>
    <col min="7" max="7" width="30.875" style="2" customWidth="1"/>
    <col min="8" max="8" width="37.875" style="2" customWidth="1"/>
    <col min="9" max="9" width="9" style="2"/>
    <col min="10" max="10" width="16.375" style="2" customWidth="1"/>
    <col min="11" max="11" width="18.5" style="2" customWidth="1"/>
    <col min="12" max="12" width="9" style="2"/>
    <col min="13" max="13" width="11.5" style="2" bestFit="1" customWidth="1"/>
    <col min="14" max="16384" width="9" style="2"/>
  </cols>
  <sheetData>
    <row r="1" spans="1:12" ht="15" customHeight="1" x14ac:dyDescent="0.2">
      <c r="A1" s="20" t="s">
        <v>45</v>
      </c>
      <c r="B1" s="18" t="s">
        <v>0</v>
      </c>
      <c r="C1" s="18" t="s">
        <v>1</v>
      </c>
      <c r="D1" s="18"/>
      <c r="E1" s="18"/>
      <c r="F1" s="18" t="s">
        <v>12</v>
      </c>
      <c r="G1" s="18" t="s">
        <v>14</v>
      </c>
      <c r="H1" s="18"/>
      <c r="I1" s="5"/>
      <c r="J1" s="5"/>
      <c r="K1" s="16"/>
    </row>
    <row r="2" spans="1:12" x14ac:dyDescent="0.2">
      <c r="A2" s="20"/>
      <c r="B2" s="18"/>
      <c r="C2" s="9">
        <v>-1E-3</v>
      </c>
      <c r="D2" s="9">
        <v>-0.01</v>
      </c>
      <c r="E2" s="9">
        <v>-0.1</v>
      </c>
      <c r="F2" s="18"/>
      <c r="G2" s="18"/>
      <c r="H2" s="18"/>
      <c r="I2" s="3"/>
      <c r="J2" s="17"/>
    </row>
    <row r="3" spans="1:12" ht="33.75" x14ac:dyDescent="0.2">
      <c r="A3" s="20"/>
      <c r="B3" s="3" t="s">
        <v>2</v>
      </c>
      <c r="C3" s="17">
        <v>0.30990000000000001</v>
      </c>
      <c r="D3" s="17">
        <v>0.30990000000000001</v>
      </c>
      <c r="E3" s="17">
        <v>0.30990000000000001</v>
      </c>
      <c r="F3" s="3">
        <f t="shared" ref="F3:F13" si="0">AVERAGE(C3:E3)</f>
        <v>0.30990000000000001</v>
      </c>
      <c r="G3" s="8" t="s">
        <v>44</v>
      </c>
      <c r="H3" s="7"/>
      <c r="I3" s="3"/>
      <c r="J3" s="17"/>
    </row>
    <row r="4" spans="1:12" ht="22.5" x14ac:dyDescent="0.2">
      <c r="A4" s="20"/>
      <c r="B4" s="3" t="s">
        <v>3</v>
      </c>
      <c r="C4" s="17">
        <v>26.107500000000002</v>
      </c>
      <c r="D4" s="17">
        <v>26.107500000000002</v>
      </c>
      <c r="E4" s="17">
        <v>26.107500000000002</v>
      </c>
      <c r="F4" s="13">
        <f t="shared" si="0"/>
        <v>26.107500000000002</v>
      </c>
      <c r="G4" s="7" t="s">
        <v>33</v>
      </c>
      <c r="H4" s="7"/>
      <c r="I4" s="3"/>
      <c r="J4" s="17"/>
    </row>
    <row r="5" spans="1:12" ht="56.25" x14ac:dyDescent="0.2">
      <c r="A5" s="20"/>
      <c r="B5" s="3" t="s">
        <v>4</v>
      </c>
      <c r="C5" s="17">
        <v>28.9041</v>
      </c>
      <c r="D5" s="17">
        <v>28.9041</v>
      </c>
      <c r="E5" s="17">
        <v>28.9041</v>
      </c>
      <c r="F5" s="13">
        <f t="shared" si="0"/>
        <v>28.9041</v>
      </c>
      <c r="G5" s="7" t="s">
        <v>36</v>
      </c>
      <c r="H5" s="4"/>
      <c r="I5" s="3"/>
      <c r="J5" s="17"/>
    </row>
    <row r="6" spans="1:12" ht="33.75" x14ac:dyDescent="0.2">
      <c r="A6" s="20"/>
      <c r="B6" s="3" t="s">
        <v>5</v>
      </c>
      <c r="C6" s="17">
        <v>1.0544</v>
      </c>
      <c r="D6" s="17">
        <v>1.0544</v>
      </c>
      <c r="E6" s="17">
        <v>1.0544</v>
      </c>
      <c r="F6" s="13">
        <f t="shared" si="0"/>
        <v>1.0544</v>
      </c>
      <c r="G6" s="7" t="s">
        <v>43</v>
      </c>
      <c r="H6" s="7"/>
      <c r="I6" s="3"/>
      <c r="J6" s="17"/>
    </row>
    <row r="7" spans="1:12" ht="33.75" x14ac:dyDescent="0.2">
      <c r="A7" s="20"/>
      <c r="B7" s="3" t="s">
        <v>6</v>
      </c>
      <c r="C7" s="17">
        <v>4.8224</v>
      </c>
      <c r="D7" s="17">
        <v>4.8224</v>
      </c>
      <c r="E7" s="17">
        <v>15.817</v>
      </c>
      <c r="F7" s="13">
        <f t="shared" si="0"/>
        <v>8.4872666666666667</v>
      </c>
      <c r="G7" s="8" t="s">
        <v>41</v>
      </c>
      <c r="H7" s="4"/>
      <c r="I7" s="3"/>
      <c r="J7" s="17"/>
      <c r="K7" s="17"/>
    </row>
    <row r="8" spans="1:12" ht="45" x14ac:dyDescent="0.2">
      <c r="A8" s="20"/>
      <c r="B8" s="3" t="s">
        <v>7</v>
      </c>
      <c r="C8" s="17">
        <v>11.696899999999999</v>
      </c>
      <c r="D8" s="17">
        <v>11.696899999999999</v>
      </c>
      <c r="E8" s="17">
        <v>11.696899999999999</v>
      </c>
      <c r="F8" s="14">
        <f t="shared" si="0"/>
        <v>11.696899999999999</v>
      </c>
      <c r="G8" s="7" t="s">
        <v>34</v>
      </c>
      <c r="H8" s="4"/>
      <c r="I8" s="3"/>
      <c r="J8" s="17"/>
      <c r="K8" s="17"/>
    </row>
    <row r="9" spans="1:12" ht="56.25" x14ac:dyDescent="0.2">
      <c r="A9" s="20"/>
      <c r="B9" s="3" t="s">
        <v>13</v>
      </c>
      <c r="C9" s="17">
        <v>23.448799999999999</v>
      </c>
      <c r="D9" s="17">
        <v>23.448799999999999</v>
      </c>
      <c r="E9" s="17">
        <v>23.448799999999999</v>
      </c>
      <c r="F9" s="14">
        <f t="shared" si="0"/>
        <v>23.448799999999995</v>
      </c>
      <c r="G9" s="8" t="s">
        <v>39</v>
      </c>
      <c r="H9" s="4"/>
      <c r="I9" s="3"/>
      <c r="J9" s="17"/>
    </row>
    <row r="10" spans="1:12" ht="33.75" x14ac:dyDescent="0.2">
      <c r="A10" s="20"/>
      <c r="B10" s="3" t="s">
        <v>8</v>
      </c>
      <c r="C10" s="17">
        <v>18.8155</v>
      </c>
      <c r="D10" s="17">
        <v>18.8155</v>
      </c>
      <c r="E10" s="17">
        <v>29.810099999999998</v>
      </c>
      <c r="F10" s="13">
        <f t="shared" si="0"/>
        <v>22.480366666666669</v>
      </c>
      <c r="G10" s="7" t="s">
        <v>40</v>
      </c>
      <c r="I10" s="3"/>
      <c r="J10" s="17"/>
      <c r="K10" s="17"/>
    </row>
    <row r="11" spans="1:12" ht="45" x14ac:dyDescent="0.2">
      <c r="A11" s="20"/>
      <c r="B11" s="3" t="s">
        <v>9</v>
      </c>
      <c r="C11" s="17">
        <v>18.1341</v>
      </c>
      <c r="D11" s="17">
        <v>18.1341</v>
      </c>
      <c r="E11" s="17">
        <v>18.1341</v>
      </c>
      <c r="F11" s="13">
        <f t="shared" si="0"/>
        <v>18.1341</v>
      </c>
      <c r="G11" s="7" t="s">
        <v>37</v>
      </c>
      <c r="H11" s="4"/>
      <c r="I11" s="3"/>
      <c r="J11" s="17"/>
    </row>
    <row r="12" spans="1:12" ht="33.75" x14ac:dyDescent="0.2">
      <c r="A12" s="20"/>
      <c r="B12" s="3" t="s">
        <v>10</v>
      </c>
      <c r="C12" s="17">
        <v>110.8193</v>
      </c>
      <c r="D12" s="17">
        <v>110.8193</v>
      </c>
      <c r="E12" s="17">
        <v>110.8193</v>
      </c>
      <c r="F12" s="13">
        <f t="shared" si="0"/>
        <v>110.8193</v>
      </c>
      <c r="G12" s="7" t="s">
        <v>35</v>
      </c>
      <c r="H12" s="4"/>
      <c r="I12" s="3"/>
      <c r="J12" s="17"/>
      <c r="K12" s="1"/>
      <c r="L12" s="1"/>
    </row>
    <row r="13" spans="1:12" ht="33.75" x14ac:dyDescent="0.2">
      <c r="A13" s="20"/>
      <c r="B13" s="3" t="s">
        <v>11</v>
      </c>
      <c r="C13" s="17">
        <v>3.9914999999999998</v>
      </c>
      <c r="D13" s="17">
        <v>3.9914999999999998</v>
      </c>
      <c r="E13" s="17">
        <v>3.9914999999999998</v>
      </c>
      <c r="F13" s="17">
        <f t="shared" si="0"/>
        <v>3.9914999999999998</v>
      </c>
      <c r="G13" s="7" t="s">
        <v>38</v>
      </c>
    </row>
    <row r="15" spans="1:12" ht="15" customHeight="1" x14ac:dyDescent="0.2">
      <c r="A15" s="20" t="s">
        <v>27</v>
      </c>
      <c r="B15" s="18" t="s">
        <v>0</v>
      </c>
      <c r="C15" s="18" t="s">
        <v>17</v>
      </c>
      <c r="D15" s="18"/>
      <c r="E15" s="18"/>
      <c r="F15" s="18" t="s">
        <v>12</v>
      </c>
      <c r="G15" s="18" t="s">
        <v>18</v>
      </c>
    </row>
    <row r="16" spans="1:12" x14ac:dyDescent="0.2">
      <c r="A16" s="20"/>
      <c r="B16" s="18"/>
      <c r="C16" s="9">
        <v>-1E-3</v>
      </c>
      <c r="D16" s="9">
        <v>-0.01</v>
      </c>
      <c r="E16" s="9">
        <v>-0.1</v>
      </c>
      <c r="F16" s="18"/>
      <c r="G16" s="18"/>
    </row>
    <row r="17" spans="1:10" ht="22.5" x14ac:dyDescent="0.2">
      <c r="A17" s="20"/>
      <c r="B17" s="10" t="s">
        <v>3</v>
      </c>
      <c r="C17" s="15">
        <v>652.49459999999999</v>
      </c>
      <c r="D17" s="15">
        <v>652.49459999999999</v>
      </c>
      <c r="E17" s="15">
        <v>652.49459999999999</v>
      </c>
      <c r="F17" s="15">
        <f t="shared" ref="F17:F27" si="1">AVERAGE(C17:E17)</f>
        <v>652.49459999999999</v>
      </c>
      <c r="G17" s="7" t="s">
        <v>19</v>
      </c>
    </row>
    <row r="18" spans="1:10" ht="45" x14ac:dyDescent="0.2">
      <c r="A18" s="20"/>
      <c r="B18" s="10" t="s">
        <v>20</v>
      </c>
      <c r="C18" s="15">
        <v>480.67669999999998</v>
      </c>
      <c r="D18" s="15">
        <v>480.67689999999999</v>
      </c>
      <c r="E18" s="15">
        <v>480.67700000000002</v>
      </c>
      <c r="F18" s="15">
        <f t="shared" si="1"/>
        <v>480.67686666666668</v>
      </c>
      <c r="G18" s="7" t="s">
        <v>26</v>
      </c>
      <c r="J18" s="12"/>
    </row>
    <row r="19" spans="1:10" ht="22.5" x14ac:dyDescent="0.2">
      <c r="A19" s="20"/>
      <c r="B19" s="10" t="s">
        <v>21</v>
      </c>
      <c r="C19" s="15">
        <v>508.49430000000001</v>
      </c>
      <c r="D19" s="15">
        <v>508.49430000000001</v>
      </c>
      <c r="E19" s="15">
        <v>508.49430000000001</v>
      </c>
      <c r="F19" s="15">
        <f t="shared" si="1"/>
        <v>508.49430000000001</v>
      </c>
      <c r="G19" s="7" t="s">
        <v>31</v>
      </c>
    </row>
    <row r="20" spans="1:10" ht="56.25" x14ac:dyDescent="0.2">
      <c r="A20" s="20"/>
      <c r="B20" s="10" t="s">
        <v>22</v>
      </c>
      <c r="C20" s="15">
        <v>251.26949999999999</v>
      </c>
      <c r="D20" s="15">
        <v>251.2696</v>
      </c>
      <c r="E20" s="15">
        <v>251.2696</v>
      </c>
      <c r="F20" s="15">
        <f t="shared" si="1"/>
        <v>251.26956666666663</v>
      </c>
      <c r="G20" s="7" t="s">
        <v>28</v>
      </c>
    </row>
    <row r="21" spans="1:10" ht="45" x14ac:dyDescent="0.2">
      <c r="A21" s="20"/>
      <c r="B21" s="10" t="s">
        <v>9</v>
      </c>
      <c r="C21" s="15">
        <v>53.914700000000003</v>
      </c>
      <c r="D21" s="15">
        <v>53.914999999999999</v>
      </c>
      <c r="E21" s="15">
        <v>53.915100000000002</v>
      </c>
      <c r="F21" s="15">
        <f t="shared" si="1"/>
        <v>53.91493333333333</v>
      </c>
      <c r="G21" s="7" t="s">
        <v>15</v>
      </c>
    </row>
    <row r="22" spans="1:10" ht="22.5" x14ac:dyDescent="0.2">
      <c r="A22" s="20"/>
      <c r="B22" s="10" t="s">
        <v>2</v>
      </c>
      <c r="C22" s="15">
        <v>28.016400000000001</v>
      </c>
      <c r="D22" s="15">
        <v>28.016400000000001</v>
      </c>
      <c r="E22" s="15">
        <v>28.016400000000001</v>
      </c>
      <c r="F22" s="15">
        <f t="shared" si="1"/>
        <v>28.016400000000001</v>
      </c>
      <c r="G22" s="8" t="s">
        <v>25</v>
      </c>
    </row>
    <row r="23" spans="1:10" ht="33.75" x14ac:dyDescent="0.2">
      <c r="A23" s="20"/>
      <c r="B23" s="10" t="s">
        <v>6</v>
      </c>
      <c r="C23" s="15">
        <v>18.3062</v>
      </c>
      <c r="D23" s="15">
        <v>18.3062</v>
      </c>
      <c r="E23" s="15">
        <v>18.3062</v>
      </c>
      <c r="F23" s="15">
        <f t="shared" si="1"/>
        <v>18.3062</v>
      </c>
      <c r="G23" s="8" t="s">
        <v>32</v>
      </c>
    </row>
    <row r="24" spans="1:10" ht="33.75" x14ac:dyDescent="0.2">
      <c r="A24" s="20"/>
      <c r="B24" s="10" t="s">
        <v>11</v>
      </c>
      <c r="C24" s="15">
        <v>18.353400000000001</v>
      </c>
      <c r="D24" s="15">
        <v>18.353400000000001</v>
      </c>
      <c r="E24" s="15">
        <v>18.353400000000001</v>
      </c>
      <c r="F24" s="15">
        <f t="shared" si="1"/>
        <v>18.353400000000001</v>
      </c>
      <c r="G24" s="7" t="s">
        <v>16</v>
      </c>
    </row>
    <row r="25" spans="1:10" ht="56.25" x14ac:dyDescent="0.2">
      <c r="A25" s="20"/>
      <c r="B25" s="10" t="s">
        <v>23</v>
      </c>
      <c r="C25" s="15">
        <v>33.957799999999999</v>
      </c>
      <c r="D25" s="15">
        <v>36.544199999999996</v>
      </c>
      <c r="E25" s="15">
        <v>37.060899999999997</v>
      </c>
      <c r="F25" s="15">
        <f t="shared" si="1"/>
        <v>35.854299999999995</v>
      </c>
      <c r="G25" s="8" t="s">
        <v>29</v>
      </c>
    </row>
    <row r="26" spans="1:10" ht="33.75" x14ac:dyDescent="0.2">
      <c r="A26" s="20"/>
      <c r="B26" s="10" t="s">
        <v>8</v>
      </c>
      <c r="C26" s="15">
        <v>52.345999999999997</v>
      </c>
      <c r="D26" s="15">
        <v>52.345999999999997</v>
      </c>
      <c r="E26" s="15">
        <v>52.345999999999997</v>
      </c>
      <c r="F26" s="15">
        <f t="shared" si="1"/>
        <v>52.345999999999997</v>
      </c>
      <c r="G26" s="8" t="s">
        <v>30</v>
      </c>
    </row>
    <row r="27" spans="1:10" ht="22.5" x14ac:dyDescent="0.2">
      <c r="A27" s="20"/>
      <c r="B27" s="10" t="s">
        <v>24</v>
      </c>
      <c r="C27" s="15">
        <v>12.5444</v>
      </c>
      <c r="D27" s="15">
        <v>12.5444</v>
      </c>
      <c r="E27" s="15">
        <v>12.5444</v>
      </c>
      <c r="F27" s="15">
        <f t="shared" si="1"/>
        <v>12.544400000000001</v>
      </c>
      <c r="G27" s="8" t="s">
        <v>42</v>
      </c>
    </row>
    <row r="28" spans="1:10" s="3" customFormat="1" x14ac:dyDescent="0.2">
      <c r="A28" s="6"/>
    </row>
    <row r="29" spans="1:10" ht="15" customHeight="1" x14ac:dyDescent="0.2">
      <c r="A29" s="19"/>
      <c r="B29" s="18"/>
      <c r="C29" s="18"/>
      <c r="D29" s="18"/>
      <c r="E29" s="18"/>
      <c r="F29" s="18"/>
    </row>
    <row r="30" spans="1:10" x14ac:dyDescent="0.2">
      <c r="A30" s="19"/>
      <c r="B30" s="18"/>
      <c r="C30" s="3"/>
      <c r="D30" s="3"/>
      <c r="E30" s="3"/>
      <c r="F30" s="18"/>
      <c r="G30" s="11"/>
    </row>
    <row r="31" spans="1:10" x14ac:dyDescent="0.2">
      <c r="A31" s="19"/>
      <c r="B31" s="3"/>
      <c r="C31" s="3"/>
      <c r="D31" s="3"/>
      <c r="E31" s="3"/>
      <c r="F31" s="3"/>
      <c r="G31" s="11"/>
    </row>
    <row r="32" spans="1:10" x14ac:dyDescent="0.2">
      <c r="A32" s="19"/>
      <c r="B32" s="3"/>
      <c r="C32" s="3"/>
      <c r="D32" s="3"/>
      <c r="E32" s="3"/>
      <c r="F32" s="3"/>
      <c r="G32" s="3"/>
    </row>
    <row r="33" spans="1:7" x14ac:dyDescent="0.2">
      <c r="A33" s="19"/>
      <c r="B33" s="3"/>
      <c r="C33" s="3"/>
      <c r="D33" s="3"/>
      <c r="E33" s="3"/>
      <c r="F33" s="3"/>
      <c r="G33" s="3"/>
    </row>
    <row r="34" spans="1:7" x14ac:dyDescent="0.2">
      <c r="A34" s="19"/>
      <c r="B34" s="3"/>
      <c r="C34" s="3"/>
      <c r="D34" s="3"/>
      <c r="E34" s="3"/>
      <c r="F34" s="3"/>
      <c r="G34" s="3"/>
    </row>
    <row r="35" spans="1:7" x14ac:dyDescent="0.2">
      <c r="A35" s="19"/>
      <c r="B35" s="3"/>
      <c r="C35" s="3"/>
      <c r="D35" s="3"/>
      <c r="E35" s="3"/>
      <c r="F35" s="3"/>
      <c r="G35" s="3"/>
    </row>
    <row r="36" spans="1:7" x14ac:dyDescent="0.2">
      <c r="A36" s="19"/>
      <c r="B36" s="3"/>
      <c r="C36" s="3"/>
      <c r="D36" s="3"/>
      <c r="E36" s="3"/>
      <c r="F36" s="3"/>
      <c r="G36" s="3"/>
    </row>
    <row r="37" spans="1:7" x14ac:dyDescent="0.2">
      <c r="A37" s="19"/>
      <c r="B37" s="3"/>
      <c r="C37" s="3"/>
      <c r="D37" s="3"/>
      <c r="E37" s="3"/>
      <c r="F37" s="3"/>
      <c r="G37" s="3"/>
    </row>
    <row r="38" spans="1:7" x14ac:dyDescent="0.2">
      <c r="A38" s="19"/>
      <c r="B38" s="3"/>
      <c r="C38" s="3"/>
      <c r="D38" s="3"/>
      <c r="E38" s="3"/>
      <c r="F38" s="3"/>
      <c r="G38" s="3"/>
    </row>
    <row r="39" spans="1:7" x14ac:dyDescent="0.2">
      <c r="A39" s="19"/>
      <c r="B39" s="3"/>
      <c r="C39" s="3"/>
      <c r="D39" s="3"/>
      <c r="E39" s="3"/>
      <c r="F39" s="3"/>
      <c r="G39" s="3"/>
    </row>
    <row r="40" spans="1:7" x14ac:dyDescent="0.2">
      <c r="A40" s="19"/>
      <c r="B40" s="3"/>
      <c r="C40" s="3"/>
      <c r="D40" s="3"/>
      <c r="E40" s="3"/>
      <c r="F40" s="3"/>
      <c r="G40" s="3"/>
    </row>
    <row r="41" spans="1:7" x14ac:dyDescent="0.2">
      <c r="A41" s="19"/>
      <c r="B41" s="3"/>
      <c r="C41" s="3"/>
      <c r="D41" s="3"/>
      <c r="E41" s="3"/>
      <c r="F41" s="3"/>
      <c r="G41" s="3"/>
    </row>
    <row r="43" spans="1:7" x14ac:dyDescent="0.2">
      <c r="A43" s="19"/>
      <c r="B43" s="18"/>
      <c r="C43" s="18"/>
      <c r="D43" s="18"/>
      <c r="E43" s="18"/>
      <c r="F43" s="18"/>
    </row>
    <row r="44" spans="1:7" x14ac:dyDescent="0.2">
      <c r="A44" s="19"/>
      <c r="B44" s="18"/>
      <c r="C44" s="3"/>
      <c r="D44" s="3"/>
      <c r="E44" s="3"/>
      <c r="F44" s="18"/>
    </row>
    <row r="45" spans="1:7" x14ac:dyDescent="0.2">
      <c r="A45" s="19"/>
      <c r="B45" s="3"/>
      <c r="C45" s="3"/>
      <c r="D45" s="3"/>
      <c r="E45" s="3"/>
      <c r="F45" s="3"/>
    </row>
    <row r="46" spans="1:7" x14ac:dyDescent="0.2">
      <c r="A46" s="19"/>
      <c r="B46" s="3"/>
      <c r="C46" s="3"/>
      <c r="D46" s="3"/>
      <c r="E46" s="3"/>
      <c r="F46" s="3"/>
      <c r="G46" s="3"/>
    </row>
    <row r="47" spans="1:7" ht="15" customHeight="1" x14ac:dyDescent="0.2">
      <c r="A47" s="19"/>
      <c r="B47" s="3"/>
      <c r="C47" s="3"/>
      <c r="D47" s="3"/>
      <c r="E47" s="3"/>
      <c r="F47" s="3"/>
      <c r="G47" s="3"/>
    </row>
    <row r="48" spans="1:7" x14ac:dyDescent="0.2">
      <c r="A48" s="19"/>
      <c r="B48" s="3"/>
      <c r="C48" s="3"/>
      <c r="D48" s="3"/>
      <c r="E48" s="3"/>
      <c r="F48" s="3"/>
      <c r="G48" s="3"/>
    </row>
    <row r="49" spans="1:7" x14ac:dyDescent="0.2">
      <c r="A49" s="19"/>
      <c r="B49" s="3"/>
      <c r="C49" s="3"/>
      <c r="D49" s="3"/>
      <c r="E49" s="3"/>
      <c r="F49" s="3"/>
      <c r="G49" s="3"/>
    </row>
    <row r="50" spans="1:7" x14ac:dyDescent="0.2">
      <c r="A50" s="19"/>
      <c r="B50" s="3"/>
      <c r="C50" s="3"/>
      <c r="D50" s="3"/>
      <c r="E50" s="3"/>
      <c r="F50" s="3"/>
      <c r="G50" s="3"/>
    </row>
    <row r="51" spans="1:7" x14ac:dyDescent="0.2">
      <c r="A51" s="19"/>
      <c r="B51" s="3"/>
      <c r="C51" s="3"/>
      <c r="D51" s="3"/>
      <c r="E51" s="3"/>
      <c r="F51" s="3"/>
      <c r="G51" s="3"/>
    </row>
    <row r="52" spans="1:7" x14ac:dyDescent="0.2">
      <c r="A52" s="19"/>
      <c r="B52" s="3"/>
      <c r="C52" s="3"/>
      <c r="D52" s="3"/>
      <c r="E52" s="3"/>
      <c r="F52" s="3"/>
      <c r="G52" s="3"/>
    </row>
    <row r="53" spans="1:7" x14ac:dyDescent="0.2">
      <c r="A53" s="19"/>
      <c r="B53" s="3"/>
      <c r="C53" s="3"/>
      <c r="D53" s="3"/>
      <c r="E53" s="3"/>
      <c r="F53" s="3"/>
      <c r="G53" s="3"/>
    </row>
    <row r="54" spans="1:7" x14ac:dyDescent="0.2">
      <c r="A54" s="19"/>
      <c r="B54" s="3"/>
      <c r="C54" s="3"/>
      <c r="D54" s="3"/>
      <c r="E54" s="3"/>
      <c r="F54" s="3"/>
      <c r="G54" s="3"/>
    </row>
    <row r="55" spans="1:7" x14ac:dyDescent="0.2">
      <c r="A55" s="19"/>
      <c r="B55" s="3"/>
      <c r="C55" s="3"/>
      <c r="D55" s="3"/>
      <c r="E55" s="3"/>
      <c r="F55" s="3"/>
      <c r="G55" s="3"/>
    </row>
    <row r="60" spans="1:7" x14ac:dyDescent="0.2">
      <c r="G60" s="3"/>
    </row>
    <row r="61" spans="1:7" x14ac:dyDescent="0.2">
      <c r="G61" s="3"/>
    </row>
    <row r="62" spans="1:7" x14ac:dyDescent="0.2">
      <c r="G62" s="3"/>
    </row>
    <row r="63" spans="1:7" x14ac:dyDescent="0.2">
      <c r="G63" s="3"/>
    </row>
    <row r="64" spans="1:7" x14ac:dyDescent="0.2">
      <c r="G64" s="3"/>
    </row>
    <row r="65" spans="1:7" x14ac:dyDescent="0.2">
      <c r="G65" s="3"/>
    </row>
    <row r="66" spans="1:7" x14ac:dyDescent="0.2">
      <c r="G66" s="3"/>
    </row>
    <row r="67" spans="1:7" x14ac:dyDescent="0.2">
      <c r="G67" s="3"/>
    </row>
    <row r="68" spans="1:7" x14ac:dyDescent="0.2">
      <c r="G68" s="3"/>
    </row>
    <row r="69" spans="1:7" x14ac:dyDescent="0.2">
      <c r="G69" s="3"/>
    </row>
    <row r="71" spans="1:7" x14ac:dyDescent="0.2">
      <c r="A71" s="19"/>
      <c r="B71" s="18"/>
      <c r="C71" s="18"/>
      <c r="D71" s="18"/>
      <c r="E71" s="18"/>
      <c r="F71" s="18"/>
    </row>
    <row r="72" spans="1:7" x14ac:dyDescent="0.2">
      <c r="A72" s="19"/>
      <c r="B72" s="18"/>
      <c r="C72" s="3"/>
      <c r="D72" s="3"/>
      <c r="E72" s="3"/>
      <c r="F72" s="18"/>
    </row>
    <row r="73" spans="1:7" x14ac:dyDescent="0.2">
      <c r="A73" s="19"/>
      <c r="B73" s="3"/>
      <c r="C73" s="3"/>
      <c r="D73" s="3"/>
      <c r="E73" s="3"/>
      <c r="F73" s="3"/>
    </row>
    <row r="74" spans="1:7" x14ac:dyDescent="0.2">
      <c r="A74" s="19"/>
      <c r="B74" s="3"/>
      <c r="C74" s="3"/>
      <c r="D74" s="3"/>
      <c r="E74" s="3"/>
      <c r="F74" s="3"/>
    </row>
    <row r="75" spans="1:7" x14ac:dyDescent="0.2">
      <c r="A75" s="19"/>
      <c r="B75" s="3"/>
      <c r="C75" s="3"/>
      <c r="D75" s="3"/>
      <c r="E75" s="3"/>
      <c r="F75" s="3"/>
    </row>
    <row r="76" spans="1:7" x14ac:dyDescent="0.2">
      <c r="A76" s="19"/>
      <c r="B76" s="3"/>
      <c r="C76" s="3"/>
      <c r="D76" s="3"/>
      <c r="E76" s="3"/>
      <c r="F76" s="3"/>
    </row>
    <row r="77" spans="1:7" x14ac:dyDescent="0.2">
      <c r="A77" s="19"/>
      <c r="B77" s="3"/>
      <c r="C77" s="3"/>
      <c r="D77" s="3"/>
      <c r="E77" s="3"/>
      <c r="F77" s="3"/>
    </row>
    <row r="78" spans="1:7" x14ac:dyDescent="0.2">
      <c r="A78" s="19"/>
      <c r="B78" s="3"/>
      <c r="C78" s="3"/>
      <c r="D78" s="3"/>
      <c r="E78" s="3"/>
      <c r="F78" s="3"/>
    </row>
    <row r="79" spans="1:7" x14ac:dyDescent="0.2">
      <c r="A79" s="19"/>
      <c r="B79" s="3"/>
      <c r="C79" s="3"/>
      <c r="D79" s="3"/>
      <c r="E79" s="3"/>
      <c r="F79" s="3"/>
    </row>
    <row r="80" spans="1:7" x14ac:dyDescent="0.2">
      <c r="A80" s="19"/>
      <c r="B80" s="3"/>
      <c r="C80" s="3"/>
      <c r="D80" s="3"/>
      <c r="E80" s="3"/>
      <c r="F80" s="3"/>
    </row>
    <row r="81" spans="1:6" x14ac:dyDescent="0.2">
      <c r="A81" s="19"/>
      <c r="B81" s="3"/>
      <c r="C81" s="3"/>
      <c r="D81" s="3"/>
      <c r="E81" s="3"/>
      <c r="F81" s="3"/>
    </row>
    <row r="82" spans="1:6" x14ac:dyDescent="0.2">
      <c r="A82" s="19"/>
      <c r="B82" s="3"/>
      <c r="C82" s="3"/>
      <c r="D82" s="3"/>
      <c r="E82" s="3"/>
      <c r="F82" s="3"/>
    </row>
    <row r="83" spans="1:6" x14ac:dyDescent="0.2">
      <c r="A83" s="19"/>
      <c r="B83" s="3"/>
      <c r="C83" s="3"/>
      <c r="D83" s="3"/>
      <c r="E83" s="3"/>
      <c r="F83" s="3"/>
    </row>
    <row r="85" spans="1:6" x14ac:dyDescent="0.2">
      <c r="A85" s="19"/>
      <c r="B85" s="18"/>
      <c r="C85" s="18"/>
      <c r="D85" s="18"/>
      <c r="E85" s="18"/>
      <c r="F85" s="18"/>
    </row>
    <row r="86" spans="1:6" x14ac:dyDescent="0.2">
      <c r="A86" s="19"/>
      <c r="B86" s="18"/>
      <c r="C86" s="3"/>
      <c r="D86" s="3"/>
      <c r="E86" s="3"/>
      <c r="F86" s="18"/>
    </row>
    <row r="87" spans="1:6" x14ac:dyDescent="0.2">
      <c r="A87" s="19"/>
      <c r="B87" s="3"/>
      <c r="C87" s="3"/>
      <c r="D87" s="3"/>
      <c r="E87" s="3"/>
      <c r="F87" s="4"/>
    </row>
    <row r="88" spans="1:6" x14ac:dyDescent="0.2">
      <c r="A88" s="19"/>
      <c r="B88" s="3"/>
      <c r="C88" s="3"/>
      <c r="D88" s="3"/>
      <c r="E88" s="3"/>
      <c r="F88" s="4"/>
    </row>
    <row r="89" spans="1:6" x14ac:dyDescent="0.2">
      <c r="A89" s="19"/>
      <c r="B89" s="3"/>
      <c r="C89" s="3"/>
      <c r="D89" s="3"/>
      <c r="E89" s="3"/>
      <c r="F89" s="3"/>
    </row>
    <row r="90" spans="1:6" x14ac:dyDescent="0.2">
      <c r="A90" s="19"/>
      <c r="B90" s="3"/>
      <c r="C90" s="3"/>
      <c r="D90" s="3"/>
      <c r="E90" s="3"/>
      <c r="F90" s="3"/>
    </row>
    <row r="91" spans="1:6" x14ac:dyDescent="0.2">
      <c r="A91" s="19"/>
      <c r="B91" s="3"/>
      <c r="C91" s="3"/>
      <c r="D91" s="3"/>
      <c r="E91" s="3"/>
      <c r="F91" s="3"/>
    </row>
    <row r="92" spans="1:6" x14ac:dyDescent="0.2">
      <c r="A92" s="19"/>
      <c r="B92" s="3"/>
      <c r="C92" s="3"/>
      <c r="D92" s="3"/>
      <c r="E92" s="3"/>
      <c r="F92" s="3"/>
    </row>
    <row r="93" spans="1:6" x14ac:dyDescent="0.2">
      <c r="A93" s="19"/>
      <c r="B93" s="3"/>
      <c r="C93" s="3"/>
      <c r="D93" s="3"/>
      <c r="E93" s="3"/>
      <c r="F93" s="3"/>
    </row>
    <row r="94" spans="1:6" x14ac:dyDescent="0.2">
      <c r="A94" s="19"/>
      <c r="B94" s="3"/>
      <c r="C94" s="3"/>
      <c r="D94" s="3"/>
      <c r="E94" s="3"/>
      <c r="F94" s="3"/>
    </row>
    <row r="95" spans="1:6" x14ac:dyDescent="0.2">
      <c r="A95" s="19"/>
      <c r="B95" s="3"/>
      <c r="C95" s="3"/>
      <c r="D95" s="3"/>
      <c r="E95" s="3"/>
      <c r="F95" s="3"/>
    </row>
    <row r="96" spans="1:6" x14ac:dyDescent="0.2">
      <c r="A96" s="19"/>
      <c r="B96" s="3"/>
      <c r="C96" s="3"/>
      <c r="D96" s="3"/>
      <c r="E96" s="3"/>
      <c r="F96" s="3"/>
    </row>
    <row r="97" spans="1:6" x14ac:dyDescent="0.2">
      <c r="A97" s="19"/>
      <c r="B97" s="3"/>
      <c r="C97" s="3"/>
      <c r="D97" s="3"/>
      <c r="E97" s="3"/>
      <c r="F97" s="3"/>
    </row>
  </sheetData>
  <sortState ref="B3:G13">
    <sortCondition ref="B3:B13"/>
  </sortState>
  <mergeCells count="27">
    <mergeCell ref="H1:H2"/>
    <mergeCell ref="G15:G16"/>
    <mergeCell ref="C1:E1"/>
    <mergeCell ref="F1:F2"/>
    <mergeCell ref="A85:A97"/>
    <mergeCell ref="B85:B86"/>
    <mergeCell ref="C85:E85"/>
    <mergeCell ref="F85:F86"/>
    <mergeCell ref="A71:A83"/>
    <mergeCell ref="B71:B72"/>
    <mergeCell ref="C71:E71"/>
    <mergeCell ref="F71:F72"/>
    <mergeCell ref="A43:A55"/>
    <mergeCell ref="B43:B44"/>
    <mergeCell ref="C43:E43"/>
    <mergeCell ref="F43:F44"/>
    <mergeCell ref="G1:G2"/>
    <mergeCell ref="F29:F30"/>
    <mergeCell ref="B29:B30"/>
    <mergeCell ref="C29:E29"/>
    <mergeCell ref="A29:A41"/>
    <mergeCell ref="A15:A27"/>
    <mergeCell ref="B15:B16"/>
    <mergeCell ref="C15:E15"/>
    <mergeCell ref="F15:F16"/>
    <mergeCell ref="A1:A13"/>
    <mergeCell ref="B1:B2"/>
  </mergeCells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Sheet1!F31:F41</xm:f>
              <xm:sqref>H33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2024-02-29T08:21:23Z</dcterms:created>
  <dcterms:modified xsi:type="dcterms:W3CDTF">2024-12-25T06:40:08Z</dcterms:modified>
</cp:coreProperties>
</file>